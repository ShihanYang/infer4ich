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yan\Desktop\非遗\experiment\"/>
    </mc:Choice>
  </mc:AlternateContent>
  <xr:revisionPtr revIDLastSave="0" documentId="13_ncr:1_{A054B36E-B306-439C-9089-9AC4F700EC9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>
    <functionGroup name="Commands"/>
  </functionGroups>
  <calcPr calcId="191029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add_one_su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igen_sub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yfunction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" i="1" l="1"/>
  <c r="G5" i="1"/>
  <c r="G6" i="1"/>
  <c r="G3" i="1"/>
  <c r="C9" i="1" a="1"/>
  <c r="C9" i="1" s="1"/>
  <c r="G9" i="1" s="1"/>
  <c r="O52" i="1"/>
  <c r="H6" i="1" s="1"/>
  <c r="O51" i="1"/>
  <c r="H5" i="1" s="1"/>
  <c r="O50" i="1"/>
  <c r="H4" i="1" s="1"/>
  <c r="Q49" i="1"/>
  <c r="Q50" i="1" s="1"/>
  <c r="Q51" i="1" s="1"/>
  <c r="O49" i="1"/>
  <c r="H3" i="1" s="1"/>
  <c r="F53" i="1"/>
  <c r="E52" i="1"/>
  <c r="E53" i="1" s="1"/>
  <c r="D52" i="1"/>
  <c r="C52" i="1"/>
  <c r="D51" i="1"/>
  <c r="C51" i="1"/>
  <c r="C50" i="1"/>
  <c r="E43" i="1"/>
  <c r="D43" i="1"/>
  <c r="D42" i="1"/>
  <c r="C42" i="1"/>
  <c r="C43" i="1"/>
  <c r="C41" i="1"/>
  <c r="E34" i="1"/>
  <c r="D34" i="1"/>
  <c r="D33" i="1"/>
  <c r="C34" i="1"/>
  <c r="C33" i="1"/>
  <c r="C32" i="1"/>
  <c r="E25" i="1"/>
  <c r="D25" i="1"/>
  <c r="D24" i="1"/>
  <c r="C25" i="1"/>
  <c r="C24" i="1"/>
  <c r="C23" i="1"/>
  <c r="O43" i="1"/>
  <c r="F6" i="1" s="1"/>
  <c r="O42" i="1"/>
  <c r="E6" i="1" s="1"/>
  <c r="O41" i="1"/>
  <c r="D6" i="1" s="1"/>
  <c r="Q40" i="1"/>
  <c r="Q41" i="1" s="1"/>
  <c r="Q42" i="1" s="1"/>
  <c r="O40" i="1"/>
  <c r="C6" i="1" s="1"/>
  <c r="O34" i="1"/>
  <c r="F5" i="1" s="1"/>
  <c r="O33" i="1"/>
  <c r="E5" i="1" s="1"/>
  <c r="O32" i="1"/>
  <c r="D5" i="1" s="1"/>
  <c r="Q31" i="1"/>
  <c r="Q32" i="1" s="1"/>
  <c r="Q33" i="1" s="1"/>
  <c r="O31" i="1"/>
  <c r="C5" i="1" s="1"/>
  <c r="O25" i="1"/>
  <c r="F4" i="1" s="1"/>
  <c r="O24" i="1"/>
  <c r="E4" i="1" s="1"/>
  <c r="O23" i="1"/>
  <c r="D4" i="1" s="1"/>
  <c r="Q22" i="1"/>
  <c r="Q23" i="1" s="1"/>
  <c r="Q24" i="1" s="1"/>
  <c r="O22" i="1"/>
  <c r="C4" i="1" s="1"/>
  <c r="O14" i="1"/>
  <c r="D3" i="1" s="1"/>
  <c r="O15" i="1"/>
  <c r="E3" i="1" s="1"/>
  <c r="O16" i="1"/>
  <c r="F3" i="1" s="1"/>
  <c r="E16" i="1"/>
  <c r="D16" i="1"/>
  <c r="D15" i="1"/>
  <c r="C16" i="1"/>
  <c r="C15" i="1"/>
  <c r="C14" i="1"/>
  <c r="O13" i="1"/>
  <c r="C3" i="1" s="1"/>
  <c r="Q13" i="1"/>
  <c r="Q14" i="1" s="1"/>
  <c r="Q15" i="1" s="1"/>
  <c r="J52" i="1" l="1"/>
  <c r="D53" i="1"/>
  <c r="C53" i="1"/>
  <c r="F44" i="1"/>
  <c r="E44" i="1"/>
  <c r="D44" i="1"/>
  <c r="C44" i="1"/>
  <c r="I50" i="1" s="1"/>
  <c r="F35" i="1"/>
  <c r="L32" i="1" s="1"/>
  <c r="E35" i="1"/>
  <c r="K33" i="1" s="1"/>
  <c r="D35" i="1"/>
  <c r="J34" i="1" s="1"/>
  <c r="C35" i="1"/>
  <c r="I31" i="1" s="1"/>
  <c r="F26" i="1"/>
  <c r="L23" i="1" s="1"/>
  <c r="E26" i="1"/>
  <c r="K22" i="1" s="1"/>
  <c r="D26" i="1"/>
  <c r="J23" i="1" s="1"/>
  <c r="C26" i="1"/>
  <c r="I24" i="1" s="1"/>
  <c r="K43" i="1" l="1"/>
  <c r="K51" i="1"/>
  <c r="K49" i="1"/>
  <c r="K50" i="1"/>
  <c r="L42" i="1"/>
  <c r="L52" i="1"/>
  <c r="L50" i="1"/>
  <c r="L51" i="1"/>
  <c r="L49" i="1"/>
  <c r="I42" i="1"/>
  <c r="I49" i="1"/>
  <c r="I52" i="1"/>
  <c r="M52" i="1" s="1"/>
  <c r="K52" i="1"/>
  <c r="J40" i="1"/>
  <c r="J50" i="1"/>
  <c r="J49" i="1"/>
  <c r="J53" i="1" s="1"/>
  <c r="I51" i="1"/>
  <c r="J51" i="1"/>
  <c r="K42" i="1"/>
  <c r="J43" i="1"/>
  <c r="I41" i="1"/>
  <c r="K32" i="1"/>
  <c r="J33" i="1"/>
  <c r="I34" i="1"/>
  <c r="J22" i="1"/>
  <c r="K25" i="1"/>
  <c r="L41" i="1"/>
  <c r="J25" i="1"/>
  <c r="K24" i="1"/>
  <c r="I33" i="1"/>
  <c r="K31" i="1"/>
  <c r="J32" i="1"/>
  <c r="L34" i="1"/>
  <c r="I40" i="1"/>
  <c r="L40" i="1"/>
  <c r="J42" i="1"/>
  <c r="K41" i="1"/>
  <c r="L31" i="1"/>
  <c r="J24" i="1"/>
  <c r="K23" i="1"/>
  <c r="I32" i="1"/>
  <c r="J31" i="1"/>
  <c r="K34" i="1"/>
  <c r="L33" i="1"/>
  <c r="I43" i="1"/>
  <c r="K40" i="1"/>
  <c r="J41" i="1"/>
  <c r="L43" i="1"/>
  <c r="L25" i="1"/>
  <c r="L24" i="1"/>
  <c r="L22" i="1"/>
  <c r="I23" i="1"/>
  <c r="M23" i="1" s="1"/>
  <c r="I22" i="1"/>
  <c r="I25" i="1"/>
  <c r="D17" i="1"/>
  <c r="J16" i="1" s="1"/>
  <c r="E17" i="1"/>
  <c r="K15" i="1" s="1"/>
  <c r="F17" i="1"/>
  <c r="L14" i="1" s="1"/>
  <c r="C17" i="1"/>
  <c r="I13" i="1" s="1"/>
  <c r="K44" i="1" l="1"/>
  <c r="M50" i="1"/>
  <c r="I53" i="1"/>
  <c r="M49" i="1"/>
  <c r="M53" i="1" s="1"/>
  <c r="M42" i="1"/>
  <c r="M51" i="1"/>
  <c r="K53" i="1"/>
  <c r="L53" i="1"/>
  <c r="J26" i="1"/>
  <c r="M34" i="1"/>
  <c r="M32" i="1"/>
  <c r="J35" i="1"/>
  <c r="J44" i="1"/>
  <c r="M41" i="1"/>
  <c r="M43" i="1"/>
  <c r="I44" i="1"/>
  <c r="M40" i="1"/>
  <c r="L35" i="1"/>
  <c r="M33" i="1"/>
  <c r="K26" i="1"/>
  <c r="M25" i="1"/>
  <c r="M24" i="1"/>
  <c r="J15" i="1"/>
  <c r="K14" i="1"/>
  <c r="I16" i="1"/>
  <c r="I15" i="1"/>
  <c r="K13" i="1"/>
  <c r="J14" i="1"/>
  <c r="L16" i="1"/>
  <c r="L13" i="1"/>
  <c r="I14" i="1"/>
  <c r="J13" i="1"/>
  <c r="K16" i="1"/>
  <c r="L15" i="1"/>
  <c r="I35" i="1"/>
  <c r="L26" i="1"/>
  <c r="L44" i="1"/>
  <c r="K35" i="1"/>
  <c r="M31" i="1"/>
  <c r="I26" i="1"/>
  <c r="M22" i="1"/>
  <c r="N50" i="1" l="1"/>
  <c r="N49" i="1"/>
  <c r="N51" i="1"/>
  <c r="N52" i="1"/>
  <c r="M44" i="1"/>
  <c r="N42" i="1" s="1"/>
  <c r="N43" i="1"/>
  <c r="M26" i="1"/>
  <c r="N24" i="1" s="1"/>
  <c r="M14" i="1"/>
  <c r="J17" i="1"/>
  <c r="M15" i="1"/>
  <c r="M16" i="1"/>
  <c r="M13" i="1"/>
  <c r="N41" i="1"/>
  <c r="L17" i="1"/>
  <c r="M35" i="1"/>
  <c r="K17" i="1"/>
  <c r="I17" i="1"/>
  <c r="N53" i="1" l="1"/>
  <c r="N40" i="1"/>
  <c r="N44" i="1" s="1"/>
  <c r="N25" i="1"/>
  <c r="N23" i="1"/>
  <c r="N22" i="1"/>
  <c r="N26" i="1" s="1"/>
  <c r="N34" i="1"/>
  <c r="N32" i="1"/>
  <c r="N33" i="1"/>
  <c r="M17" i="1"/>
  <c r="N13" i="1" s="1"/>
  <c r="N31" i="1"/>
  <c r="N35" i="1" l="1"/>
  <c r="N16" i="1"/>
  <c r="N15" i="1"/>
  <c r="N14" i="1"/>
  <c r="R13" i="1" l="1" a="1"/>
  <c r="R13" i="1" s="1"/>
  <c r="N1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<sst xmlns="http://schemas.openxmlformats.org/spreadsheetml/2006/main" count="193" uniqueCount="70">
  <si>
    <t>w1</t>
    <phoneticPr fontId="1" type="noConversion"/>
  </si>
  <si>
    <t>w2</t>
    <phoneticPr fontId="1" type="noConversion"/>
  </si>
  <si>
    <t>w4</t>
    <phoneticPr fontId="1" type="noConversion"/>
  </si>
  <si>
    <t>w3</t>
    <phoneticPr fontId="1" type="noConversion"/>
  </si>
  <si>
    <t>dim1</t>
    <phoneticPr fontId="1" type="noConversion"/>
  </si>
  <si>
    <t>dim2</t>
    <phoneticPr fontId="1" type="noConversion"/>
  </si>
  <si>
    <t>dim3</t>
    <phoneticPr fontId="1" type="noConversion"/>
  </si>
  <si>
    <t>dim4</t>
    <phoneticPr fontId="1" type="noConversion"/>
  </si>
  <si>
    <t>Aesthetic Onto.</t>
  </si>
  <si>
    <t>Aesthetic Onto.</t>
    <phoneticPr fontId="1" type="noConversion"/>
  </si>
  <si>
    <t>Historical Onto.</t>
  </si>
  <si>
    <t>Historical Onto.</t>
    <phoneticPr fontId="1" type="noConversion"/>
  </si>
  <si>
    <t>Semiotic Onto.</t>
  </si>
  <si>
    <t>Semiotic Onto.</t>
    <phoneticPr fontId="1" type="noConversion"/>
  </si>
  <si>
    <t>Socialogical Onto.</t>
  </si>
  <si>
    <t>Socialogical Onto.</t>
    <phoneticPr fontId="1" type="noConversion"/>
  </si>
  <si>
    <t xml:space="preserve"> independent vs. interdependent orientation</t>
  </si>
  <si>
    <t xml:space="preserve"> individualism vs. collectivism</t>
  </si>
  <si>
    <t>tightness vs. looseness of social norms</t>
  </si>
  <si>
    <t>relational mobility</t>
  </si>
  <si>
    <t>DIM-1: Orienttion</t>
    <phoneticPr fontId="1" type="noConversion"/>
  </si>
  <si>
    <t>W</t>
    <phoneticPr fontId="1" type="noConversion"/>
  </si>
  <si>
    <t>O1</t>
  </si>
  <si>
    <t>O1</t>
    <phoneticPr fontId="1" type="noConversion"/>
  </si>
  <si>
    <t>O2</t>
  </si>
  <si>
    <t>O2</t>
    <phoneticPr fontId="1" type="noConversion"/>
  </si>
  <si>
    <t>O3</t>
  </si>
  <si>
    <t>O3</t>
    <phoneticPr fontId="1" type="noConversion"/>
  </si>
  <si>
    <t>O4</t>
  </si>
  <si>
    <t>O4</t>
    <phoneticPr fontId="1" type="noConversion"/>
  </si>
  <si>
    <t>DIM-2: Indivi. Vs. Coll.</t>
    <phoneticPr fontId="1" type="noConversion"/>
  </si>
  <si>
    <t>DIM-3: Social Norm</t>
    <phoneticPr fontId="1" type="noConversion"/>
  </si>
  <si>
    <t>DIM-4: Relation Mobil.</t>
    <phoneticPr fontId="1" type="noConversion"/>
  </si>
  <si>
    <t>CR=CI/RI</t>
    <phoneticPr fontId="1" type="noConversion"/>
  </si>
  <si>
    <t>MaxEigenValue</t>
    <phoneticPr fontId="1" type="noConversion"/>
  </si>
  <si>
    <t>CI=(E_max-n)/(n-1)</t>
    <phoneticPr fontId="1" type="noConversion"/>
  </si>
  <si>
    <t>EV by Python</t>
    <phoneticPr fontId="1" type="noConversion"/>
  </si>
  <si>
    <t>Eigen Vector</t>
    <phoneticPr fontId="1" type="noConversion"/>
  </si>
  <si>
    <t>W'</t>
    <phoneticPr fontId="1" type="noConversion"/>
  </si>
  <si>
    <t>RI(n=1)</t>
    <phoneticPr fontId="1" type="noConversion"/>
  </si>
  <si>
    <t>同等重要</t>
    <phoneticPr fontId="1" type="noConversion"/>
  </si>
  <si>
    <t>稍微重要</t>
    <phoneticPr fontId="1" type="noConversion"/>
  </si>
  <si>
    <t>明显重要</t>
    <phoneticPr fontId="1" type="noConversion"/>
  </si>
  <si>
    <t>强烈重要</t>
    <phoneticPr fontId="1" type="noConversion"/>
  </si>
  <si>
    <t>极端重要</t>
    <phoneticPr fontId="1" type="noConversion"/>
  </si>
  <si>
    <t>1-9标度法</t>
    <phoneticPr fontId="1" type="noConversion"/>
  </si>
  <si>
    <t>2,4,6,8</t>
    <phoneticPr fontId="1" type="noConversion"/>
  </si>
  <si>
    <t>相邻标度中值</t>
    <phoneticPr fontId="1" type="noConversion"/>
  </si>
  <si>
    <r>
      <t>Ax=</t>
    </r>
    <r>
      <rPr>
        <sz val="11"/>
        <color theme="1"/>
        <rFont val="等线"/>
        <family val="3"/>
        <charset val="134"/>
      </rPr>
      <t>λ</t>
    </r>
    <r>
      <rPr>
        <sz val="11"/>
        <color theme="1"/>
        <rFont val="等线"/>
        <family val="3"/>
        <charset val="134"/>
        <scheme val="minor"/>
      </rPr>
      <t>x</t>
    </r>
    <phoneticPr fontId="1" type="noConversion"/>
  </si>
  <si>
    <t>Goal: Cultural Psyc. Diff.</t>
    <phoneticPr fontId="1" type="noConversion"/>
  </si>
  <si>
    <t>D1</t>
    <phoneticPr fontId="1" type="noConversion"/>
  </si>
  <si>
    <t>D2</t>
    <phoneticPr fontId="1" type="noConversion"/>
  </si>
  <si>
    <t>D3</t>
    <phoneticPr fontId="1" type="noConversion"/>
  </si>
  <si>
    <t>D4</t>
    <phoneticPr fontId="1" type="noConversion"/>
  </si>
  <si>
    <t>D1</t>
    <phoneticPr fontId="1" type="noConversion"/>
  </si>
  <si>
    <t>indep./interdep.</t>
    <phoneticPr fontId="1" type="noConversion"/>
  </si>
  <si>
    <t>indiv./collect.</t>
    <phoneticPr fontId="1" type="noConversion"/>
  </si>
  <si>
    <t>tight./loose.</t>
    <phoneticPr fontId="1" type="noConversion"/>
  </si>
  <si>
    <t>rel. mobility</t>
    <phoneticPr fontId="1" type="noConversion"/>
  </si>
  <si>
    <t>indep./interdep.</t>
    <phoneticPr fontId="1" type="noConversion"/>
  </si>
  <si>
    <t>indiv./collect.</t>
    <phoneticPr fontId="1" type="noConversion"/>
  </si>
  <si>
    <t>tight./loose.</t>
    <phoneticPr fontId="1" type="noConversion"/>
  </si>
  <si>
    <t>rel. mobility</t>
    <phoneticPr fontId="1" type="noConversion"/>
  </si>
  <si>
    <t>GOAL</t>
    <phoneticPr fontId="1" type="noConversion"/>
  </si>
  <si>
    <t xml:space="preserve">Overall Ranking </t>
    <phoneticPr fontId="1" type="noConversion"/>
  </si>
  <si>
    <t>checking</t>
    <phoneticPr fontId="1" type="noConversion"/>
  </si>
  <si>
    <t>Historical Onto.</t>
    <phoneticPr fontId="1" type="noConversion"/>
  </si>
  <si>
    <t>Aesthetic Onto.</t>
    <phoneticPr fontId="1" type="noConversion"/>
  </si>
  <si>
    <t>Semiotic Onto.</t>
    <phoneticPr fontId="1" type="noConversion"/>
  </si>
  <si>
    <t>Socialogical Onto.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</si>
</sst>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);[Red]\(0.00\)"/>
    <numFmt numFmtId="177" formatCode="0.0000_ "/>
    <numFmt numFmtId="178" formatCode="0.000000_ "/>
  </numFmts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8"/>
      <name val="等线"/>
      <family val="2"/>
      <scheme val="minor"/>
    </font>
    <font>
      <sz val="11"/>
      <color theme="8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4"/>
      <color rgb="FF0000FF"/>
      <name val="华文隶书"/>
      <family val="3"/>
      <charset val="134"/>
    </font>
    <font>
      <sz val="11"/>
      <color rgb="FF00B0F0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center" vertical="center" wrapText="1"/>
    </xf>
    <xf numFmtId="0" fontId="4" fillId="2" borderId="0" xfId="0" applyFont="1" applyFill="1" applyAlignment="1">
      <alignment horizontal="right"/>
    </xf>
    <xf numFmtId="176" fontId="0" fillId="0" borderId="0" xfId="0" quotePrefix="1" applyNumberFormat="1"/>
    <xf numFmtId="0" fontId="0" fillId="3" borderId="0" xfId="0" applyFill="1"/>
    <xf numFmtId="0" fontId="3" fillId="0" borderId="0" xfId="0" applyFont="1"/>
    <xf numFmtId="177" fontId="3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0" fillId="7" borderId="0" xfId="0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77" fontId="10" fillId="0" borderId="0" xfId="0" applyNumberFormat="1" applyFont="1" applyAlignment="1">
      <alignment horizontal="center" vertical="center"/>
    </xf>
    <xf numFmtId="0" fontId="4" fillId="4" borderId="0" xfId="0" applyFont="1" applyFill="1" applyAlignment="1">
      <alignment horizontal="center"/>
    </xf>
    <xf numFmtId="178" fontId="0" fillId="0" borderId="0" xfId="0" applyNumberFormat="1"/>
    <xf numFmtId="178" fontId="2" fillId="4" borderId="0" xfId="0" applyNumberFormat="1" applyFont="1" applyFill="1" applyAlignment="1">
      <alignment horizontal="center"/>
    </xf>
    <xf numFmtId="177" fontId="0" fillId="0" borderId="0" xfId="0" applyNumberFormat="1"/>
  </cellXfs>
  <cellStyles count="1">
    <cellStyle name="常规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</xdr:colOff>
          <xdr:row>7</xdr:row>
          <xdr:rowOff>114300</xdr:rowOff>
        </xdr:from>
        <xdr:to>
          <xdr:col>16</xdr:col>
          <xdr:colOff>464820</xdr:colOff>
          <xdr:row>10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0000FF"/>
                  </a:solidFill>
                  <a:latin typeface="华文隶书"/>
                  <a:ea typeface="华文隶书"/>
                </a:rPr>
                <a:t>用Python求所有特征值和特征向量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53"/>
  <sheetViews>
    <sheetView tabSelected="1" workbookViewId="0">
      <selection activeCell="C9" sqref="C9"/>
    </sheetView>
  </sheetViews>
  <sheetFormatPr defaultRowHeight="13.8" x14ac:dyDescent="0.25"/>
  <cols>
    <col min="1" max="1" width="22.6640625" customWidth="1"/>
    <col min="2" max="2" width="8.88671875" style="3"/>
    <col min="3" max="3" width="15.5546875" customWidth="1"/>
    <col min="4" max="4" width="20.109375" customWidth="1"/>
    <col min="5" max="5" width="14.6640625" customWidth="1"/>
    <col min="6" max="6" width="18.6640625" customWidth="1"/>
    <col min="9" max="11" width="8.88671875" hidden="1" customWidth="1"/>
    <col min="12" max="12" width="9.5546875" hidden="1" customWidth="1"/>
    <col min="13" max="13" width="8.88671875" hidden="1" customWidth="1"/>
    <col min="15" max="15" width="15.109375" customWidth="1"/>
    <col min="16" max="16" width="17.33203125" customWidth="1"/>
    <col min="17" max="17" width="14.5546875" customWidth="1"/>
    <col min="18" max="18" width="11.44140625" customWidth="1"/>
    <col min="19" max="19" width="20" customWidth="1"/>
    <col min="20" max="20" width="9.109375" bestFit="1" customWidth="1"/>
    <col min="21" max="21" width="12.21875" customWidth="1"/>
  </cols>
  <sheetData>
    <row r="1" spans="1:23" s="1" customFormat="1" x14ac:dyDescent="0.25">
      <c r="B1" s="3"/>
      <c r="C1" s="1" t="s">
        <v>11</v>
      </c>
      <c r="D1" s="1" t="s">
        <v>9</v>
      </c>
      <c r="E1" s="1" t="s">
        <v>13</v>
      </c>
      <c r="F1" s="1" t="s">
        <v>15</v>
      </c>
      <c r="R1" s="18" t="s">
        <v>39</v>
      </c>
    </row>
    <row r="2" spans="1:23" s="1" customFormat="1" x14ac:dyDescent="0.25">
      <c r="B2" s="3"/>
      <c r="C2" s="2" t="s">
        <v>0</v>
      </c>
      <c r="D2" s="2" t="s">
        <v>1</v>
      </c>
      <c r="E2" s="2" t="s">
        <v>3</v>
      </c>
      <c r="F2" s="2" t="s">
        <v>2</v>
      </c>
      <c r="G2" s="1" t="s">
        <v>65</v>
      </c>
      <c r="H2" s="22" t="s">
        <v>63</v>
      </c>
      <c r="I2" s="18" t="s">
        <v>45</v>
      </c>
      <c r="R2" s="1">
        <v>0</v>
      </c>
    </row>
    <row r="3" spans="1:23" s="1" customFormat="1" ht="41.4" x14ac:dyDescent="0.25">
      <c r="A3" s="4" t="s">
        <v>16</v>
      </c>
      <c r="B3" s="5" t="s">
        <v>4</v>
      </c>
      <c r="C3" s="11">
        <f>O13</f>
        <v>0.51503797722656219</v>
      </c>
      <c r="D3" s="11">
        <f>O14</f>
        <v>0.13788819240025429</v>
      </c>
      <c r="E3" s="11">
        <f>O15</f>
        <v>3.918126815323681E-2</v>
      </c>
      <c r="F3" s="11">
        <f>O16</f>
        <v>0.30789256221994671</v>
      </c>
      <c r="G3" s="12">
        <f>SUM(C3:F3)</f>
        <v>1</v>
      </c>
      <c r="H3" s="24">
        <f>O49</f>
        <v>0.1091814912551493</v>
      </c>
      <c r="I3" s="1" t="s">
        <v>40</v>
      </c>
      <c r="J3" s="1" t="s">
        <v>41</v>
      </c>
      <c r="K3" s="1" t="s">
        <v>42</v>
      </c>
      <c r="L3" s="1" t="s">
        <v>43</v>
      </c>
      <c r="M3" s="1" t="s">
        <v>44</v>
      </c>
      <c r="R3" s="1">
        <v>0.52</v>
      </c>
    </row>
    <row r="4" spans="1:23" s="1" customFormat="1" ht="37.200000000000003" customHeight="1" x14ac:dyDescent="0.25">
      <c r="A4" s="6" t="s">
        <v>17</v>
      </c>
      <c r="B4" s="5" t="s">
        <v>5</v>
      </c>
      <c r="C4" s="11">
        <f>O22</f>
        <v>0.43932623747721694</v>
      </c>
      <c r="D4" s="11">
        <f>O23</f>
        <v>5.0815945206432199E-2</v>
      </c>
      <c r="E4" s="11">
        <f>O24</f>
        <v>0.12468831300916763</v>
      </c>
      <c r="F4" s="11">
        <f>O25</f>
        <v>0.38516950430718333</v>
      </c>
      <c r="G4" s="12">
        <f t="shared" ref="G4:G6" si="0">SUM(C4:F4)</f>
        <v>1</v>
      </c>
      <c r="H4" s="24">
        <f>O50</f>
        <v>0.53485494306849579</v>
      </c>
      <c r="I4" s="1">
        <v>1</v>
      </c>
      <c r="J4" s="1">
        <v>3</v>
      </c>
      <c r="K4" s="1">
        <v>5</v>
      </c>
      <c r="L4" s="1">
        <v>7</v>
      </c>
      <c r="M4" s="1">
        <v>9</v>
      </c>
      <c r="R4" s="1">
        <v>0.89</v>
      </c>
    </row>
    <row r="5" spans="1:23" s="1" customFormat="1" ht="34.799999999999997" customHeight="1" x14ac:dyDescent="0.25">
      <c r="A5" s="4" t="s">
        <v>18</v>
      </c>
      <c r="B5" s="5" t="s">
        <v>6</v>
      </c>
      <c r="C5" s="11">
        <f>O31</f>
        <v>0.34245236893533681</v>
      </c>
      <c r="D5" s="11">
        <f>O32</f>
        <v>9.0066286615191102E-2</v>
      </c>
      <c r="E5" s="11">
        <f>O33</f>
        <v>5.7395120041125368E-2</v>
      </c>
      <c r="F5" s="11">
        <f>O34</f>
        <v>0.51008622440834661</v>
      </c>
      <c r="G5" s="12">
        <f t="shared" si="0"/>
        <v>0.99999999999999989</v>
      </c>
      <c r="H5" s="24">
        <f>O51</f>
        <v>0.2597769690291773</v>
      </c>
      <c r="I5" s="1" t="s">
        <v>47</v>
      </c>
      <c r="R5" s="1">
        <v>1.1200000000000001</v>
      </c>
    </row>
    <row r="6" spans="1:23" s="1" customFormat="1" ht="39" customHeight="1" x14ac:dyDescent="0.25">
      <c r="A6" s="6" t="s">
        <v>19</v>
      </c>
      <c r="B6" s="5" t="s">
        <v>7</v>
      </c>
      <c r="C6" s="11">
        <f>O40</f>
        <v>0.56717711303477314</v>
      </c>
      <c r="D6" s="11">
        <f>O41</f>
        <v>4.6149383240393062E-2</v>
      </c>
      <c r="E6" s="11">
        <f>O42</f>
        <v>0.13227648783363422</v>
      </c>
      <c r="F6" s="11">
        <f>O43</f>
        <v>0.25439701589119962</v>
      </c>
      <c r="G6" s="12">
        <f t="shared" si="0"/>
        <v>1</v>
      </c>
      <c r="H6" s="24">
        <f>O52</f>
        <v>9.6186596647177589E-2</v>
      </c>
      <c r="I6" s="1" t="s">
        <v>46</v>
      </c>
      <c r="R6" s="1">
        <v>1.26</v>
      </c>
    </row>
    <row r="7" spans="1:23" x14ac:dyDescent="0.25">
      <c r="H7" s="28"/>
      <c r="R7" s="1">
        <v>1.36</v>
      </c>
    </row>
    <row r="8" spans="1:23" x14ac:dyDescent="0.25">
      <c r="A8" s="25" t="s">
        <v>64</v>
      </c>
      <c r="B8" s="25"/>
      <c r="C8" s="25" t="s">
        <v>66</v>
      </c>
      <c r="D8" s="25" t="s">
        <v>67</v>
      </c>
      <c r="E8" s="25" t="s">
        <v>68</v>
      </c>
      <c r="F8" s="25" t="s">
        <v>69</v>
      </c>
      <c r="R8" s="1">
        <v>1.41</v>
      </c>
    </row>
    <row r="9" spans="1:23" x14ac:dyDescent="0.25">
      <c r="C9" s="27" cm="1">
        <f t="array" ref="C9:F9">TRANSPOSE(MMULT(TRANSPOSE(C3:F6),H3:H6))</f>
        <v>0.43472449877887476</v>
      </c>
      <c r="D9" s="27">
        <v>7.0070097012962018E-2</v>
      </c>
      <c r="E9" s="27">
        <v>9.8601185344571823E-2</v>
      </c>
      <c r="F9" s="27">
        <v>0.39660421886359143</v>
      </c>
      <c r="G9" s="26">
        <f>SUM(C9:F9)</f>
        <v>1</v>
      </c>
      <c r="R9" s="1">
        <v>1.46</v>
      </c>
    </row>
    <row r="10" spans="1:23" x14ac:dyDescent="0.25">
      <c r="R10" s="1">
        <v>1.49</v>
      </c>
    </row>
    <row r="11" spans="1:23" x14ac:dyDescent="0.25">
      <c r="A11" s="7" t="s">
        <v>20</v>
      </c>
      <c r="C11" t="s">
        <v>10</v>
      </c>
      <c r="D11" t="s">
        <v>8</v>
      </c>
      <c r="E11" t="s">
        <v>12</v>
      </c>
      <c r="F11" t="s">
        <v>14</v>
      </c>
    </row>
    <row r="12" spans="1:23" x14ac:dyDescent="0.25">
      <c r="C12" s="2" t="s">
        <v>23</v>
      </c>
      <c r="D12" s="2" t="s">
        <v>25</v>
      </c>
      <c r="E12" s="2" t="s">
        <v>27</v>
      </c>
      <c r="F12" s="2" t="s">
        <v>29</v>
      </c>
      <c r="H12" s="3"/>
      <c r="I12" s="2" t="s">
        <v>22</v>
      </c>
      <c r="J12" s="2" t="s">
        <v>24</v>
      </c>
      <c r="K12" s="2" t="s">
        <v>26</v>
      </c>
      <c r="L12" s="2" t="s">
        <v>28</v>
      </c>
      <c r="N12" s="2" t="s">
        <v>21</v>
      </c>
      <c r="O12" s="2" t="s">
        <v>38</v>
      </c>
      <c r="R12" s="20" t="s">
        <v>48</v>
      </c>
      <c r="S12" s="2" t="s">
        <v>36</v>
      </c>
      <c r="T12" s="23" t="s">
        <v>37</v>
      </c>
      <c r="U12" s="23"/>
      <c r="V12" s="23"/>
      <c r="W12" s="23"/>
    </row>
    <row r="13" spans="1:23" x14ac:dyDescent="0.25">
      <c r="A13" s="1" t="s">
        <v>11</v>
      </c>
      <c r="B13" s="2" t="s">
        <v>23</v>
      </c>
      <c r="C13">
        <v>1</v>
      </c>
      <c r="D13">
        <v>6.42</v>
      </c>
      <c r="E13">
        <v>7.75</v>
      </c>
      <c r="F13" s="8">
        <v>1.5</v>
      </c>
      <c r="H13" s="2" t="s">
        <v>23</v>
      </c>
      <c r="I13">
        <f>C13/C$17</f>
        <v>0.51243627375251044</v>
      </c>
      <c r="J13">
        <f t="shared" ref="J13:L16" si="1">D13/D$17</f>
        <v>0.66277922107388798</v>
      </c>
      <c r="K13">
        <f t="shared" si="1"/>
        <v>0.33260504857399237</v>
      </c>
      <c r="L13">
        <f t="shared" si="1"/>
        <v>0.4854368932038835</v>
      </c>
      <c r="M13">
        <f>SUM(I13:L13)</f>
        <v>1.9932574366042743</v>
      </c>
      <c r="N13" s="10">
        <f>M13/$M$17</f>
        <v>0.49831435915106859</v>
      </c>
      <c r="O13">
        <f>T13/SUM(T13:W13)</f>
        <v>0.51503797722656219</v>
      </c>
      <c r="P13" s="13" t="s">
        <v>34</v>
      </c>
      <c r="Q13">
        <f>MAX(S13:S16)</f>
        <v>4.2050760132606424</v>
      </c>
      <c r="R13" s="21" cm="1">
        <f t="array" ref="R13:R16">MMULT(C13:F16,N13:N16)/N13:N16</f>
        <v>4.4366112028593596</v>
      </c>
      <c r="S13" s="15">
        <v>4.2050760132606424</v>
      </c>
      <c r="T13" s="16">
        <v>-0.83483183242304304</v>
      </c>
      <c r="U13" s="16">
        <v>-0.22350478493038906</v>
      </c>
      <c r="V13" s="16">
        <v>-6.3509432964855853E-2</v>
      </c>
      <c r="W13" s="16">
        <v>-0.49906710431653112</v>
      </c>
    </row>
    <row r="14" spans="1:23" x14ac:dyDescent="0.25">
      <c r="A14" s="1" t="s">
        <v>9</v>
      </c>
      <c r="B14" s="2" t="s">
        <v>25</v>
      </c>
      <c r="C14" s="8">
        <f>1/D13</f>
        <v>0.1557632398753894</v>
      </c>
      <c r="D14">
        <v>1</v>
      </c>
      <c r="E14" s="8">
        <v>5.46</v>
      </c>
      <c r="F14" s="8">
        <v>0.48</v>
      </c>
      <c r="H14" s="2" t="s">
        <v>25</v>
      </c>
      <c r="I14">
        <f t="shared" ref="I14:I16" si="2">C14/C$17</f>
        <v>7.9818734229362989E-2</v>
      </c>
      <c r="J14">
        <f t="shared" si="1"/>
        <v>0.10323663879655576</v>
      </c>
      <c r="K14">
        <f t="shared" si="1"/>
        <v>0.23432562131793527</v>
      </c>
      <c r="L14">
        <f t="shared" si="1"/>
        <v>0.15533980582524273</v>
      </c>
      <c r="M14">
        <f t="shared" ref="M14:M16" si="3">SUM(I14:L14)</f>
        <v>0.57272080016909677</v>
      </c>
      <c r="N14" s="10">
        <f t="shared" ref="N14:N16" si="4">M14/$M$17</f>
        <v>0.14318020004227419</v>
      </c>
      <c r="O14">
        <f>U13/SUM(T13:W13)</f>
        <v>0.13788819240025429</v>
      </c>
      <c r="P14" s="14" t="s">
        <v>35</v>
      </c>
      <c r="Q14">
        <f>(Q13-4)/3</f>
        <v>6.8358671086880804E-2</v>
      </c>
      <c r="R14">
        <v>4.1660388864209343</v>
      </c>
      <c r="S14" s="15">
        <v>-0.12388589739763689</v>
      </c>
      <c r="T14">
        <v>-0.96178358252014085</v>
      </c>
      <c r="U14">
        <v>0.10143067469741876</v>
      </c>
      <c r="V14">
        <v>3.1986934186376229E-2</v>
      </c>
      <c r="W14">
        <v>0.12123422216074564</v>
      </c>
    </row>
    <row r="15" spans="1:23" x14ac:dyDescent="0.25">
      <c r="A15" s="1" t="s">
        <v>13</v>
      </c>
      <c r="B15" s="2" t="s">
        <v>27</v>
      </c>
      <c r="C15" s="8">
        <f>1/E13</f>
        <v>0.12903225806451613</v>
      </c>
      <c r="D15" s="8">
        <f>1/E14</f>
        <v>0.18315018315018314</v>
      </c>
      <c r="E15">
        <v>1</v>
      </c>
      <c r="F15" s="8">
        <v>0.11</v>
      </c>
      <c r="H15" s="2" t="s">
        <v>27</v>
      </c>
      <c r="I15">
        <f t="shared" si="2"/>
        <v>6.6120809516452952E-2</v>
      </c>
      <c r="J15">
        <f t="shared" si="1"/>
        <v>1.8907809303398488E-2</v>
      </c>
      <c r="K15">
        <f t="shared" si="1"/>
        <v>4.2916780461160306E-2</v>
      </c>
      <c r="L15">
        <f t="shared" si="1"/>
        <v>3.5598705501618123E-2</v>
      </c>
      <c r="M15">
        <f t="shared" si="3"/>
        <v>0.16354410478262985</v>
      </c>
      <c r="N15" s="10">
        <f t="shared" si="4"/>
        <v>4.0886026195657461E-2</v>
      </c>
      <c r="O15">
        <f>V13/SUM(T13:W13)</f>
        <v>3.918126815323681E-2</v>
      </c>
      <c r="P15" s="14" t="s">
        <v>33</v>
      </c>
      <c r="Q15" s="17">
        <f>Q14/R4</f>
        <v>7.6807495603236853E-2</v>
      </c>
      <c r="R15">
        <v>4.0685359798794103</v>
      </c>
      <c r="S15" s="15">
        <v>-0.12388589739763689</v>
      </c>
      <c r="T15">
        <v>-0.96178358252014085</v>
      </c>
      <c r="U15">
        <v>0.10143067469741876</v>
      </c>
      <c r="V15">
        <v>3.1986934186376229E-2</v>
      </c>
      <c r="W15">
        <v>0.12123422216074564</v>
      </c>
    </row>
    <row r="16" spans="1:23" x14ac:dyDescent="0.25">
      <c r="A16" s="1" t="s">
        <v>15</v>
      </c>
      <c r="B16" s="2" t="s">
        <v>29</v>
      </c>
      <c r="C16" s="8">
        <f>1/F13</f>
        <v>0.66666666666666663</v>
      </c>
      <c r="D16">
        <f>1/F14</f>
        <v>2.0833333333333335</v>
      </c>
      <c r="E16">
        <f>1/F15</f>
        <v>9.0909090909090917</v>
      </c>
      <c r="F16">
        <v>1</v>
      </c>
      <c r="H16" s="2" t="s">
        <v>29</v>
      </c>
      <c r="I16">
        <f t="shared" si="2"/>
        <v>0.34162418250167359</v>
      </c>
      <c r="J16">
        <f t="shared" si="1"/>
        <v>0.21507633082615785</v>
      </c>
      <c r="K16">
        <f t="shared" si="1"/>
        <v>0.39015254964691193</v>
      </c>
      <c r="L16">
        <f t="shared" si="1"/>
        <v>0.3236245954692557</v>
      </c>
      <c r="M16">
        <f t="shared" si="3"/>
        <v>1.270477658443999</v>
      </c>
      <c r="N16" s="10">
        <f t="shared" si="4"/>
        <v>0.31761941461099974</v>
      </c>
      <c r="O16">
        <f>W13/SUM(T13:W13)</f>
        <v>0.30789256221994671</v>
      </c>
      <c r="R16">
        <v>4.1553260201346829</v>
      </c>
      <c r="S16" s="15">
        <v>4.2695781534628184E-2</v>
      </c>
      <c r="T16">
        <v>-0.22651109726139093</v>
      </c>
      <c r="U16">
        <v>-0.12307099666661228</v>
      </c>
      <c r="V16">
        <v>-5.675415374330698E-2</v>
      </c>
      <c r="W16">
        <v>0.96453367936521983</v>
      </c>
    </row>
    <row r="17" spans="1:23" x14ac:dyDescent="0.25">
      <c r="C17" s="9">
        <f>SUM(C13:C16)</f>
        <v>1.9514621646065722</v>
      </c>
      <c r="D17" s="9">
        <f t="shared" ref="D17:F17" si="5">SUM(D13:D16)</f>
        <v>9.6864835164835164</v>
      </c>
      <c r="E17" s="9">
        <f t="shared" si="5"/>
        <v>23.300909090909094</v>
      </c>
      <c r="F17" s="9">
        <f t="shared" si="5"/>
        <v>3.09</v>
      </c>
      <c r="I17">
        <f>SUM(I13:I16)</f>
        <v>1</v>
      </c>
      <c r="J17">
        <f t="shared" ref="J17:N17" si="6">SUM(J13:J16)</f>
        <v>1</v>
      </c>
      <c r="K17">
        <f t="shared" si="6"/>
        <v>0.99999999999999989</v>
      </c>
      <c r="L17">
        <f t="shared" si="6"/>
        <v>1</v>
      </c>
      <c r="M17">
        <f t="shared" si="6"/>
        <v>4</v>
      </c>
      <c r="N17">
        <f t="shared" si="6"/>
        <v>1</v>
      </c>
    </row>
    <row r="20" spans="1:23" x14ac:dyDescent="0.25">
      <c r="A20" s="7" t="s">
        <v>30</v>
      </c>
      <c r="C20" t="s">
        <v>10</v>
      </c>
      <c r="D20" t="s">
        <v>8</v>
      </c>
      <c r="E20" t="s">
        <v>12</v>
      </c>
      <c r="F20" t="s">
        <v>14</v>
      </c>
    </row>
    <row r="21" spans="1:23" x14ac:dyDescent="0.25">
      <c r="C21" s="2" t="s">
        <v>23</v>
      </c>
      <c r="D21" s="2" t="s">
        <v>25</v>
      </c>
      <c r="E21" s="2" t="s">
        <v>27</v>
      </c>
      <c r="F21" s="2" t="s">
        <v>29</v>
      </c>
      <c r="H21" s="3"/>
      <c r="I21" s="2" t="s">
        <v>22</v>
      </c>
      <c r="J21" s="2" t="s">
        <v>24</v>
      </c>
      <c r="K21" s="2" t="s">
        <v>26</v>
      </c>
      <c r="L21" s="2" t="s">
        <v>28</v>
      </c>
      <c r="N21" s="2" t="s">
        <v>21</v>
      </c>
      <c r="O21" s="19" t="s">
        <v>38</v>
      </c>
      <c r="R21" s="2"/>
      <c r="S21" s="19" t="s">
        <v>36</v>
      </c>
      <c r="T21" s="23" t="s">
        <v>37</v>
      </c>
      <c r="U21" s="23"/>
      <c r="V21" s="23"/>
      <c r="W21" s="23"/>
    </row>
    <row r="22" spans="1:23" x14ac:dyDescent="0.25">
      <c r="A22" s="1" t="s">
        <v>11</v>
      </c>
      <c r="B22" s="2" t="s">
        <v>23</v>
      </c>
      <c r="C22">
        <v>1</v>
      </c>
      <c r="D22">
        <v>7.62</v>
      </c>
      <c r="E22">
        <v>4.5</v>
      </c>
      <c r="F22" s="8">
        <v>1</v>
      </c>
      <c r="H22" s="2" t="s">
        <v>23</v>
      </c>
      <c r="I22">
        <f>C22/C$26</f>
        <v>0.42490706319702604</v>
      </c>
      <c r="J22">
        <f t="shared" ref="J22:L25" si="7">D22/D$26</f>
        <v>0.40923737916219116</v>
      </c>
      <c r="K22">
        <f t="shared" si="7"/>
        <v>0.50943396226415105</v>
      </c>
      <c r="L22">
        <f t="shared" si="7"/>
        <v>0.40384615384615385</v>
      </c>
      <c r="M22">
        <f>SUM(I22:L22)</f>
        <v>1.7474245584695223</v>
      </c>
      <c r="N22" s="10">
        <f>M22/$M$26</f>
        <v>0.43685613961738057</v>
      </c>
      <c r="O22">
        <f>T22/SUM(T22:W22)</f>
        <v>0.43932623747721694</v>
      </c>
      <c r="P22" s="13" t="s">
        <v>34</v>
      </c>
      <c r="Q22">
        <f>MAX(S22:S25)</f>
        <v>4.0352942792099995</v>
      </c>
      <c r="S22" s="15">
        <v>4.0352942792099995</v>
      </c>
      <c r="T22">
        <v>0.73272702258248168</v>
      </c>
      <c r="U22">
        <v>8.4752999148507563E-2</v>
      </c>
      <c r="V22">
        <v>0.2079604825486388</v>
      </c>
      <c r="W22">
        <v>0.64240211488668186</v>
      </c>
    </row>
    <row r="23" spans="1:23" x14ac:dyDescent="0.25">
      <c r="A23" s="1" t="s">
        <v>9</v>
      </c>
      <c r="B23" s="2" t="s">
        <v>25</v>
      </c>
      <c r="C23" s="8">
        <f>1/D22</f>
        <v>0.13123359580052493</v>
      </c>
      <c r="D23">
        <v>1</v>
      </c>
      <c r="E23" s="8">
        <v>0.33333333333333331</v>
      </c>
      <c r="F23" s="8">
        <v>0.14285714285714285</v>
      </c>
      <c r="H23" s="2" t="s">
        <v>25</v>
      </c>
      <c r="I23">
        <f t="shared" ref="I23:I25" si="8">C23/C$26</f>
        <v>5.5762081784386616E-2</v>
      </c>
      <c r="J23">
        <f t="shared" si="7"/>
        <v>5.3705692803437163E-2</v>
      </c>
      <c r="K23">
        <f t="shared" si="7"/>
        <v>3.7735849056603779E-2</v>
      </c>
      <c r="L23">
        <f t="shared" si="7"/>
        <v>5.7692307692307689E-2</v>
      </c>
      <c r="M23">
        <f t="shared" ref="M23:M25" si="9">SUM(I23:L23)</f>
        <v>0.20489593133673525</v>
      </c>
      <c r="N23" s="10">
        <f t="shared" ref="N23:N25" si="10">M23/$M$26</f>
        <v>5.1223982834183814E-2</v>
      </c>
      <c r="O23">
        <f>U22/SUM(T22:W22)</f>
        <v>5.0815945206432199E-2</v>
      </c>
      <c r="P23" s="14" t="s">
        <v>35</v>
      </c>
      <c r="Q23">
        <f>(Q22-4)/3</f>
        <v>1.17647597366665E-2</v>
      </c>
      <c r="S23" s="15">
        <v>-1.3235395635855487E-2</v>
      </c>
      <c r="T23">
        <v>0.87656603003158029</v>
      </c>
      <c r="U23">
        <v>-6.5106043419590559E-2</v>
      </c>
      <c r="V23">
        <v>-8.1080914160734083E-2</v>
      </c>
      <c r="W23">
        <v>-2.7195563659415837E-2</v>
      </c>
    </row>
    <row r="24" spans="1:23" x14ac:dyDescent="0.25">
      <c r="A24" s="1" t="s">
        <v>13</v>
      </c>
      <c r="B24" s="2" t="s">
        <v>27</v>
      </c>
      <c r="C24" s="8">
        <f>1/E22</f>
        <v>0.22222222222222221</v>
      </c>
      <c r="D24">
        <f>1/E23</f>
        <v>3</v>
      </c>
      <c r="E24">
        <v>1</v>
      </c>
      <c r="F24" s="8">
        <v>0.33333333333333331</v>
      </c>
      <c r="H24" s="2" t="s">
        <v>27</v>
      </c>
      <c r="I24">
        <f t="shared" si="8"/>
        <v>9.4423791821561326E-2</v>
      </c>
      <c r="J24">
        <f t="shared" si="7"/>
        <v>0.16111707841031148</v>
      </c>
      <c r="K24">
        <f t="shared" si="7"/>
        <v>0.11320754716981134</v>
      </c>
      <c r="L24">
        <f t="shared" si="7"/>
        <v>0.13461538461538461</v>
      </c>
      <c r="M24">
        <f t="shared" si="9"/>
        <v>0.50336380201706876</v>
      </c>
      <c r="N24" s="10">
        <f t="shared" si="10"/>
        <v>0.12584095050426719</v>
      </c>
      <c r="O24">
        <f>V22/SUM(T22:W22)</f>
        <v>0.12468831300916763</v>
      </c>
      <c r="P24" s="14" t="s">
        <v>33</v>
      </c>
      <c r="Q24" s="17">
        <f>Q23/R4</f>
        <v>1.321883116479382E-2</v>
      </c>
      <c r="S24" s="15">
        <v>-1.3235395635855487E-2</v>
      </c>
      <c r="T24">
        <v>0.87656603003158029</v>
      </c>
      <c r="U24">
        <v>-6.5106043419590559E-2</v>
      </c>
      <c r="V24">
        <v>-8.1080914160734083E-2</v>
      </c>
      <c r="W24">
        <v>-2.7195563659415837E-2</v>
      </c>
    </row>
    <row r="25" spans="1:23" x14ac:dyDescent="0.25">
      <c r="A25" s="1" t="s">
        <v>15</v>
      </c>
      <c r="B25" s="2" t="s">
        <v>29</v>
      </c>
      <c r="C25">
        <f>1/F22</f>
        <v>1</v>
      </c>
      <c r="D25">
        <f>1/F23</f>
        <v>7</v>
      </c>
      <c r="E25">
        <f>1/F24</f>
        <v>3</v>
      </c>
      <c r="F25">
        <v>1</v>
      </c>
      <c r="H25" s="2" t="s">
        <v>29</v>
      </c>
      <c r="I25">
        <f t="shared" si="8"/>
        <v>0.42490706319702604</v>
      </c>
      <c r="J25">
        <f t="shared" si="7"/>
        <v>0.37593984962406013</v>
      </c>
      <c r="K25">
        <f t="shared" si="7"/>
        <v>0.339622641509434</v>
      </c>
      <c r="L25">
        <f t="shared" si="7"/>
        <v>0.40384615384615385</v>
      </c>
      <c r="M25">
        <f t="shared" si="9"/>
        <v>1.5443157081766739</v>
      </c>
      <c r="N25" s="10">
        <f t="shared" si="10"/>
        <v>0.38607892704416846</v>
      </c>
      <c r="O25">
        <f>W22/SUM(T22:W22)</f>
        <v>0.38516950430718333</v>
      </c>
      <c r="S25" s="15">
        <v>-8.8234879382900182E-3</v>
      </c>
      <c r="T25">
        <v>-0.47328854197200604</v>
      </c>
      <c r="U25">
        <v>-7.5531563132658561E-2</v>
      </c>
      <c r="V25">
        <v>3.9161309308905698E-2</v>
      </c>
      <c r="W25">
        <v>0.87678921689421008</v>
      </c>
    </row>
    <row r="26" spans="1:23" x14ac:dyDescent="0.25">
      <c r="C26" s="9">
        <f>SUM(C22:C25)</f>
        <v>2.3534558180227472</v>
      </c>
      <c r="D26" s="9">
        <f t="shared" ref="D26" si="11">SUM(D22:D25)</f>
        <v>18.62</v>
      </c>
      <c r="E26" s="9">
        <f t="shared" ref="E26" si="12">SUM(E22:E25)</f>
        <v>8.8333333333333321</v>
      </c>
      <c r="F26" s="9">
        <f t="shared" ref="F26" si="13">SUM(F22:F25)</f>
        <v>2.4761904761904763</v>
      </c>
      <c r="I26">
        <f>SUM(I22:I25)</f>
        <v>1</v>
      </c>
      <c r="J26">
        <f t="shared" ref="J26" si="14">SUM(J22:J25)</f>
        <v>0.99999999999999989</v>
      </c>
      <c r="K26">
        <f t="shared" ref="K26" si="15">SUM(K22:K25)</f>
        <v>1</v>
      </c>
      <c r="L26">
        <f t="shared" ref="L26" si="16">SUM(L22:L25)</f>
        <v>1</v>
      </c>
      <c r="M26">
        <f t="shared" ref="M26" si="17">SUM(M22:M25)</f>
        <v>4</v>
      </c>
      <c r="N26">
        <f t="shared" ref="N26" si="18">SUM(N22:N25)</f>
        <v>1</v>
      </c>
    </row>
    <row r="29" spans="1:23" x14ac:dyDescent="0.25">
      <c r="A29" s="7" t="s">
        <v>31</v>
      </c>
      <c r="C29" t="s">
        <v>10</v>
      </c>
      <c r="D29" t="s">
        <v>8</v>
      </c>
      <c r="E29" t="s">
        <v>12</v>
      </c>
      <c r="F29" t="s">
        <v>14</v>
      </c>
    </row>
    <row r="30" spans="1:23" x14ac:dyDescent="0.25">
      <c r="C30" s="2" t="s">
        <v>23</v>
      </c>
      <c r="D30" s="2" t="s">
        <v>25</v>
      </c>
      <c r="E30" s="2" t="s">
        <v>27</v>
      </c>
      <c r="F30" s="2" t="s">
        <v>29</v>
      </c>
      <c r="H30" s="3"/>
      <c r="I30" s="2" t="s">
        <v>23</v>
      </c>
      <c r="J30" s="2" t="s">
        <v>25</v>
      </c>
      <c r="K30" s="2" t="s">
        <v>27</v>
      </c>
      <c r="L30" s="2" t="s">
        <v>29</v>
      </c>
      <c r="N30" s="2" t="s">
        <v>21</v>
      </c>
      <c r="O30" s="19" t="s">
        <v>38</v>
      </c>
      <c r="S30" s="19" t="s">
        <v>36</v>
      </c>
      <c r="T30" s="23" t="s">
        <v>37</v>
      </c>
      <c r="U30" s="23"/>
      <c r="V30" s="23"/>
      <c r="W30" s="23"/>
    </row>
    <row r="31" spans="1:23" x14ac:dyDescent="0.25">
      <c r="A31" s="1" t="s">
        <v>11</v>
      </c>
      <c r="B31" s="2" t="s">
        <v>23</v>
      </c>
      <c r="C31">
        <v>1</v>
      </c>
      <c r="D31">
        <v>3.8</v>
      </c>
      <c r="E31">
        <v>5</v>
      </c>
      <c r="F31" s="8">
        <v>0.8</v>
      </c>
      <c r="H31" s="2" t="s">
        <v>23</v>
      </c>
      <c r="I31">
        <f>C31/C$35</f>
        <v>0.36857419980601364</v>
      </c>
      <c r="J31">
        <f t="shared" ref="J31:L34" si="19">D31/D$35</f>
        <v>0.3164765906362545</v>
      </c>
      <c r="K31">
        <f t="shared" si="19"/>
        <v>0.29673590504451036</v>
      </c>
      <c r="L31">
        <f t="shared" si="19"/>
        <v>0.38814016172506743</v>
      </c>
      <c r="M31">
        <f>SUM(I31:L31)</f>
        <v>1.3699268572118459</v>
      </c>
      <c r="N31" s="10">
        <f>M31/$M$35</f>
        <v>0.34248171430296148</v>
      </c>
      <c r="O31">
        <f>T31/SUM(T31:W31)</f>
        <v>0.34245236893533681</v>
      </c>
      <c r="P31" s="13" t="s">
        <v>34</v>
      </c>
      <c r="Q31">
        <f>MAX(S31:S34)</f>
        <v>4.0290240715662708</v>
      </c>
      <c r="S31" s="15">
        <v>4.0290240715662708</v>
      </c>
      <c r="T31">
        <v>-0.54916042132684528</v>
      </c>
      <c r="U31">
        <v>-0.14443129728876875</v>
      </c>
      <c r="V31">
        <v>-9.2039451798450925E-2</v>
      </c>
      <c r="W31">
        <v>-0.81797993332614549</v>
      </c>
    </row>
    <row r="32" spans="1:23" x14ac:dyDescent="0.25">
      <c r="A32" s="1" t="s">
        <v>9</v>
      </c>
      <c r="B32" s="2" t="s">
        <v>25</v>
      </c>
      <c r="C32" s="8">
        <f>1/D31</f>
        <v>0.26315789473684209</v>
      </c>
      <c r="D32">
        <v>1</v>
      </c>
      <c r="E32" s="8">
        <v>1.85</v>
      </c>
      <c r="F32" s="8">
        <v>0.15</v>
      </c>
      <c r="H32" s="2" t="s">
        <v>25</v>
      </c>
      <c r="I32">
        <f t="shared" ref="I32:I34" si="20">C32/C$35</f>
        <v>9.6993210475266739E-2</v>
      </c>
      <c r="J32">
        <f t="shared" si="19"/>
        <v>8.3283313325330136E-2</v>
      </c>
      <c r="K32">
        <f t="shared" si="19"/>
        <v>0.10979228486646884</v>
      </c>
      <c r="L32">
        <f t="shared" si="19"/>
        <v>7.277628032345014E-2</v>
      </c>
      <c r="M32">
        <f t="shared" ref="M32:M34" si="21">SUM(I32:L32)</f>
        <v>0.36284508899051587</v>
      </c>
      <c r="N32" s="10">
        <f t="shared" ref="N32:N34" si="22">M32/$M$35</f>
        <v>9.0711272247628968E-2</v>
      </c>
      <c r="O32">
        <f>U31/SUM(T31:W31)</f>
        <v>9.0066286615191102E-2</v>
      </c>
      <c r="P32" s="14" t="s">
        <v>35</v>
      </c>
      <c r="Q32">
        <f>(Q31-4)/3</f>
        <v>9.6746905220902821E-3</v>
      </c>
      <c r="S32" s="15">
        <v>-1.5343412148196428E-4</v>
      </c>
      <c r="T32">
        <v>1.6634401325310452E-2</v>
      </c>
      <c r="U32">
        <v>-6.1269338589985192E-3</v>
      </c>
      <c r="V32">
        <v>9.2055607790731991E-2</v>
      </c>
      <c r="W32">
        <v>-0.80832322168317661</v>
      </c>
    </row>
    <row r="33" spans="1:23" x14ac:dyDescent="0.25">
      <c r="A33" s="1" t="s">
        <v>13</v>
      </c>
      <c r="B33" s="2" t="s">
        <v>27</v>
      </c>
      <c r="C33" s="8">
        <f>1/E31</f>
        <v>0.2</v>
      </c>
      <c r="D33">
        <f>1/E32</f>
        <v>0.54054054054054046</v>
      </c>
      <c r="E33">
        <v>1</v>
      </c>
      <c r="F33" s="8">
        <v>0.1111111111111111</v>
      </c>
      <c r="H33" s="2" t="s">
        <v>27</v>
      </c>
      <c r="I33">
        <f t="shared" si="20"/>
        <v>7.3714839961202733E-2</v>
      </c>
      <c r="J33">
        <f t="shared" si="19"/>
        <v>4.5018007202881148E-2</v>
      </c>
      <c r="K33">
        <f t="shared" si="19"/>
        <v>5.9347181008902072E-2</v>
      </c>
      <c r="L33">
        <f t="shared" si="19"/>
        <v>5.3908355795148251E-2</v>
      </c>
      <c r="M33">
        <f t="shared" si="21"/>
        <v>0.2319883839681342</v>
      </c>
      <c r="N33" s="10">
        <f t="shared" si="22"/>
        <v>5.7997095992033551E-2</v>
      </c>
      <c r="O33">
        <f>V31/SUM(T31:W31)</f>
        <v>5.7395120041125368E-2</v>
      </c>
      <c r="P33" s="14" t="s">
        <v>33</v>
      </c>
      <c r="Q33" s="17">
        <f>Q32/R4</f>
        <v>1.0870438788865485E-2</v>
      </c>
      <c r="S33" s="15">
        <v>-1.5343412148196428E-4</v>
      </c>
      <c r="T33">
        <v>1.6634401325310452E-2</v>
      </c>
      <c r="U33">
        <v>-6.1269338589985192E-3</v>
      </c>
      <c r="V33">
        <v>9.2055607790731991E-2</v>
      </c>
      <c r="W33">
        <v>-0.80832322168317661</v>
      </c>
    </row>
    <row r="34" spans="1:23" x14ac:dyDescent="0.25">
      <c r="A34" s="1" t="s">
        <v>15</v>
      </c>
      <c r="B34" s="2" t="s">
        <v>29</v>
      </c>
      <c r="C34">
        <f>1/F31</f>
        <v>1.25</v>
      </c>
      <c r="D34">
        <f>1/F32</f>
        <v>6.666666666666667</v>
      </c>
      <c r="E34">
        <f>1/F33</f>
        <v>9</v>
      </c>
      <c r="F34">
        <v>1</v>
      </c>
      <c r="H34" s="2" t="s">
        <v>29</v>
      </c>
      <c r="I34">
        <f t="shared" si="20"/>
        <v>0.460717749757517</v>
      </c>
      <c r="J34">
        <f t="shared" si="19"/>
        <v>0.55522208883553426</v>
      </c>
      <c r="K34">
        <f t="shared" si="19"/>
        <v>0.5341246290801186</v>
      </c>
      <c r="L34">
        <f t="shared" si="19"/>
        <v>0.48517520215633431</v>
      </c>
      <c r="M34">
        <f t="shared" si="21"/>
        <v>2.0352396698295041</v>
      </c>
      <c r="N34" s="10">
        <f t="shared" si="22"/>
        <v>0.50880991745737603</v>
      </c>
      <c r="O34">
        <f>W31/SUM(T31:W31)</f>
        <v>0.51008622440834661</v>
      </c>
      <c r="S34" s="15">
        <v>-2.8717203323314282E-2</v>
      </c>
      <c r="T34">
        <v>-0.52284358816070531</v>
      </c>
      <c r="U34">
        <v>-0.15917031990968425</v>
      </c>
      <c r="V34">
        <v>9.5424000017157742E-2</v>
      </c>
      <c r="W34">
        <v>0.83198176169902494</v>
      </c>
    </row>
    <row r="35" spans="1:23" x14ac:dyDescent="0.25">
      <c r="C35" s="9">
        <f>SUM(C31:C34)</f>
        <v>2.7131578947368418</v>
      </c>
      <c r="D35" s="9">
        <f t="shared" ref="D35" si="23">SUM(D31:D34)</f>
        <v>12.007207207207207</v>
      </c>
      <c r="E35" s="9">
        <f t="shared" ref="E35" si="24">SUM(E31:E34)</f>
        <v>16.850000000000001</v>
      </c>
      <c r="F35" s="9">
        <f t="shared" ref="F35" si="25">SUM(F31:F34)</f>
        <v>2.0611111111111109</v>
      </c>
      <c r="I35">
        <f>SUM(I31:I34)</f>
        <v>1</v>
      </c>
      <c r="J35">
        <f t="shared" ref="J35:N35" si="26">SUM(J31:J34)</f>
        <v>1</v>
      </c>
      <c r="K35">
        <f t="shared" si="26"/>
        <v>0.99999999999999989</v>
      </c>
      <c r="L35">
        <f t="shared" si="26"/>
        <v>1.0000000000000002</v>
      </c>
      <c r="M35">
        <f t="shared" si="26"/>
        <v>4</v>
      </c>
      <c r="N35">
        <f t="shared" si="26"/>
        <v>1</v>
      </c>
    </row>
    <row r="38" spans="1:23" x14ac:dyDescent="0.25">
      <c r="A38" s="7" t="s">
        <v>32</v>
      </c>
      <c r="C38" t="s">
        <v>10</v>
      </c>
      <c r="D38" t="s">
        <v>8</v>
      </c>
      <c r="E38" t="s">
        <v>12</v>
      </c>
      <c r="F38" t="s">
        <v>14</v>
      </c>
    </row>
    <row r="39" spans="1:23" x14ac:dyDescent="0.25">
      <c r="C39" s="2" t="s">
        <v>23</v>
      </c>
      <c r="D39" s="2" t="s">
        <v>25</v>
      </c>
      <c r="E39" s="2" t="s">
        <v>27</v>
      </c>
      <c r="F39" s="2" t="s">
        <v>29</v>
      </c>
      <c r="H39" s="3"/>
      <c r="I39" s="2" t="s">
        <v>23</v>
      </c>
      <c r="J39" s="2" t="s">
        <v>25</v>
      </c>
      <c r="K39" s="2" t="s">
        <v>27</v>
      </c>
      <c r="L39" s="2" t="s">
        <v>29</v>
      </c>
      <c r="N39" s="2" t="s">
        <v>21</v>
      </c>
      <c r="O39" s="19" t="s">
        <v>38</v>
      </c>
      <c r="S39" s="19" t="s">
        <v>36</v>
      </c>
      <c r="T39" s="23" t="s">
        <v>37</v>
      </c>
      <c r="U39" s="23"/>
      <c r="V39" s="23"/>
      <c r="W39" s="23"/>
    </row>
    <row r="40" spans="1:23" x14ac:dyDescent="0.25">
      <c r="A40" s="1" t="s">
        <v>11</v>
      </c>
      <c r="B40" s="2" t="s">
        <v>23</v>
      </c>
      <c r="C40">
        <v>1</v>
      </c>
      <c r="D40">
        <v>8.01</v>
      </c>
      <c r="E40">
        <v>5.2</v>
      </c>
      <c r="F40" s="8">
        <v>3</v>
      </c>
      <c r="H40" s="2" t="s">
        <v>23</v>
      </c>
      <c r="I40">
        <f>C40/C$44</f>
        <v>0.6058825240741279</v>
      </c>
      <c r="J40">
        <f t="shared" ref="J40:L43" si="27">D40/D$44</f>
        <v>0.42135718043135195</v>
      </c>
      <c r="K40">
        <f t="shared" si="27"/>
        <v>0.55319148936170215</v>
      </c>
      <c r="L40">
        <f t="shared" si="27"/>
        <v>0.66176470588235292</v>
      </c>
      <c r="M40">
        <f>SUM(I40:L40)</f>
        <v>2.242195899749535</v>
      </c>
      <c r="N40" s="10">
        <f>M40/$M$44</f>
        <v>0.56054897493738376</v>
      </c>
      <c r="O40">
        <f>T40/SUM(T40:W40)</f>
        <v>0.56717711303477314</v>
      </c>
      <c r="P40" s="13" t="s">
        <v>34</v>
      </c>
      <c r="Q40">
        <f>MAX(S40:S43)</f>
        <v>4.2100825338705352</v>
      </c>
      <c r="S40" s="15">
        <v>4.2100825338705352</v>
      </c>
      <c r="T40">
        <v>-0.89009671990195582</v>
      </c>
      <c r="U40">
        <v>-7.2424316326836227E-2</v>
      </c>
      <c r="V40">
        <v>-0.20758748058589296</v>
      </c>
      <c r="W40">
        <v>-0.39923675372937661</v>
      </c>
    </row>
    <row r="41" spans="1:23" x14ac:dyDescent="0.25">
      <c r="A41" s="1" t="s">
        <v>9</v>
      </c>
      <c r="B41" s="2" t="s">
        <v>25</v>
      </c>
      <c r="C41" s="8">
        <f>1/D40</f>
        <v>0.12484394506866417</v>
      </c>
      <c r="D41">
        <v>1</v>
      </c>
      <c r="E41" s="8">
        <v>0.2</v>
      </c>
      <c r="F41" s="8">
        <v>0.2</v>
      </c>
      <c r="H41" s="2" t="s">
        <v>25</v>
      </c>
      <c r="I41">
        <f t="shared" ref="I41:I43" si="28">C41/C$44</f>
        <v>7.5640764553574033E-2</v>
      </c>
      <c r="J41">
        <f t="shared" si="27"/>
        <v>5.2603892688058922E-2</v>
      </c>
      <c r="K41">
        <f t="shared" si="27"/>
        <v>2.1276595744680851E-2</v>
      </c>
      <c r="L41">
        <f t="shared" si="27"/>
        <v>4.4117647058823532E-2</v>
      </c>
      <c r="M41">
        <f t="shared" ref="M41:M43" si="29">SUM(I41:L41)</f>
        <v>0.19363890004513734</v>
      </c>
      <c r="N41" s="10">
        <f t="shared" ref="N41:N43" si="30">M41/$M$44</f>
        <v>4.8409725011284335E-2</v>
      </c>
      <c r="O41">
        <f>U40/SUM(T40:W40)</f>
        <v>4.6149383240393062E-2</v>
      </c>
      <c r="P41" s="14" t="s">
        <v>35</v>
      </c>
      <c r="Q41">
        <f>(Q40-4)/3</f>
        <v>7.002751129017841E-2</v>
      </c>
      <c r="S41" s="15">
        <v>-3.5799436438004026E-2</v>
      </c>
      <c r="T41">
        <v>0.85990429575824712</v>
      </c>
      <c r="U41">
        <v>-3.888764821999974E-3</v>
      </c>
      <c r="V41">
        <v>-0.26821709873566602</v>
      </c>
      <c r="W41">
        <v>0.17839651157089112</v>
      </c>
    </row>
    <row r="42" spans="1:23" x14ac:dyDescent="0.25">
      <c r="A42" s="1" t="s">
        <v>13</v>
      </c>
      <c r="B42" s="2" t="s">
        <v>27</v>
      </c>
      <c r="C42" s="8">
        <f>1/E40</f>
        <v>0.19230769230769229</v>
      </c>
      <c r="D42">
        <f>1/E41</f>
        <v>5</v>
      </c>
      <c r="E42">
        <v>1</v>
      </c>
      <c r="F42" s="8">
        <v>0.33333333333333331</v>
      </c>
      <c r="H42" s="2" t="s">
        <v>27</v>
      </c>
      <c r="I42">
        <f t="shared" si="28"/>
        <v>0.11651587001425537</v>
      </c>
      <c r="J42">
        <f t="shared" si="27"/>
        <v>0.26301946344029459</v>
      </c>
      <c r="K42">
        <f t="shared" si="27"/>
        <v>0.10638297872340426</v>
      </c>
      <c r="L42">
        <f t="shared" si="27"/>
        <v>7.3529411764705885E-2</v>
      </c>
      <c r="M42">
        <f t="shared" si="29"/>
        <v>0.55944772394266007</v>
      </c>
      <c r="N42" s="10">
        <f t="shared" si="30"/>
        <v>0.13986193098566502</v>
      </c>
      <c r="O42">
        <f>V40/SUM(T40:W40)</f>
        <v>0.13227648783363422</v>
      </c>
      <c r="P42" s="14" t="s">
        <v>33</v>
      </c>
      <c r="Q42" s="17">
        <f>Q41/R4</f>
        <v>7.8682596955256645E-2</v>
      </c>
      <c r="S42" s="15">
        <v>-3.5799436438004026E-2</v>
      </c>
      <c r="T42">
        <v>0.85990429575824712</v>
      </c>
      <c r="U42">
        <v>-3.888764821999974E-3</v>
      </c>
      <c r="V42">
        <v>-0.26821709873566602</v>
      </c>
      <c r="W42">
        <v>0.17839651157089112</v>
      </c>
    </row>
    <row r="43" spans="1:23" x14ac:dyDescent="0.25">
      <c r="A43" s="1" t="s">
        <v>15</v>
      </c>
      <c r="B43" s="2" t="s">
        <v>29</v>
      </c>
      <c r="C43" s="8">
        <f>1/F40</f>
        <v>0.33333333333333331</v>
      </c>
      <c r="D43">
        <f>1/F41</f>
        <v>5</v>
      </c>
      <c r="E43">
        <f>1/F42</f>
        <v>3</v>
      </c>
      <c r="F43">
        <v>1</v>
      </c>
      <c r="H43" s="2" t="s">
        <v>29</v>
      </c>
      <c r="I43">
        <f t="shared" si="28"/>
        <v>0.20196084135804265</v>
      </c>
      <c r="J43">
        <f t="shared" si="27"/>
        <v>0.26301946344029459</v>
      </c>
      <c r="K43">
        <f t="shared" si="27"/>
        <v>0.31914893617021273</v>
      </c>
      <c r="L43">
        <f t="shared" si="27"/>
        <v>0.22058823529411764</v>
      </c>
      <c r="M43">
        <f t="shared" si="29"/>
        <v>1.0047174762626676</v>
      </c>
      <c r="N43" s="10">
        <f t="shared" si="30"/>
        <v>0.2511793690656669</v>
      </c>
      <c r="O43">
        <f>W40/SUM(T40:W40)</f>
        <v>0.25439701589119962</v>
      </c>
      <c r="S43" s="15">
        <v>-0.13848366099453199</v>
      </c>
      <c r="T43">
        <v>-0.85832365594882276</v>
      </c>
      <c r="U43">
        <v>3.381008696073886E-2</v>
      </c>
      <c r="V43">
        <v>-0.14708887954761671</v>
      </c>
      <c r="W43">
        <v>0.49041027841163831</v>
      </c>
    </row>
    <row r="44" spans="1:23" x14ac:dyDescent="0.25">
      <c r="C44" s="9">
        <f>SUM(C40:C43)</f>
        <v>1.6504849707096898</v>
      </c>
      <c r="D44" s="9">
        <f t="shared" ref="D44" si="31">SUM(D40:D43)</f>
        <v>19.009999999999998</v>
      </c>
      <c r="E44" s="9">
        <f t="shared" ref="E44" si="32">SUM(E40:E43)</f>
        <v>9.4</v>
      </c>
      <c r="F44" s="9">
        <f t="shared" ref="F44" si="33">SUM(F40:F43)</f>
        <v>4.5333333333333332</v>
      </c>
      <c r="I44">
        <f>SUM(I40:I43)</f>
        <v>1</v>
      </c>
      <c r="J44">
        <f t="shared" ref="J44" si="34">SUM(J40:J43)</f>
        <v>1</v>
      </c>
      <c r="K44">
        <f t="shared" ref="K44" si="35">SUM(K40:K43)</f>
        <v>1</v>
      </c>
      <c r="L44">
        <f t="shared" ref="L44" si="36">SUM(L40:L43)</f>
        <v>0.99999999999999989</v>
      </c>
      <c r="M44">
        <f t="shared" ref="M44" si="37">SUM(M40:M43)</f>
        <v>4</v>
      </c>
      <c r="N44">
        <f t="shared" ref="N44" si="38">SUM(N40:N43)</f>
        <v>1</v>
      </c>
    </row>
    <row r="47" spans="1:23" x14ac:dyDescent="0.25">
      <c r="A47" s="7" t="s">
        <v>49</v>
      </c>
      <c r="C47" t="s">
        <v>55</v>
      </c>
      <c r="D47" t="s">
        <v>56</v>
      </c>
      <c r="E47" t="s">
        <v>57</v>
      </c>
      <c r="F47" t="s">
        <v>58</v>
      </c>
    </row>
    <row r="48" spans="1:23" x14ac:dyDescent="0.25">
      <c r="C48" s="22" t="s">
        <v>54</v>
      </c>
      <c r="D48" s="22" t="s">
        <v>51</v>
      </c>
      <c r="E48" s="22" t="s">
        <v>52</v>
      </c>
      <c r="F48" s="22" t="s">
        <v>53</v>
      </c>
      <c r="H48" s="3"/>
      <c r="I48" s="22" t="s">
        <v>54</v>
      </c>
      <c r="J48" s="22" t="s">
        <v>51</v>
      </c>
      <c r="K48" s="22" t="s">
        <v>52</v>
      </c>
      <c r="L48" s="22" t="s">
        <v>53</v>
      </c>
      <c r="N48" s="22" t="s">
        <v>21</v>
      </c>
      <c r="O48" s="22" t="s">
        <v>38</v>
      </c>
      <c r="S48" s="22" t="s">
        <v>36</v>
      </c>
      <c r="T48" s="23" t="s">
        <v>37</v>
      </c>
      <c r="U48" s="23"/>
      <c r="V48" s="23"/>
      <c r="W48" s="23"/>
    </row>
    <row r="49" spans="1:23" x14ac:dyDescent="0.25">
      <c r="A49" s="1" t="s">
        <v>59</v>
      </c>
      <c r="B49" s="22" t="s">
        <v>50</v>
      </c>
      <c r="C49">
        <v>1</v>
      </c>
      <c r="D49">
        <v>0.32</v>
      </c>
      <c r="E49">
        <v>0.24</v>
      </c>
      <c r="F49" s="8">
        <v>1.2</v>
      </c>
      <c r="H49" s="22" t="s">
        <v>54</v>
      </c>
      <c r="I49">
        <f>C49/C$44</f>
        <v>0.6058825240741279</v>
      </c>
      <c r="J49">
        <f t="shared" ref="J49:J52" si="39">D49/D$44</f>
        <v>1.6833245660178856E-2</v>
      </c>
      <c r="K49">
        <f t="shared" ref="K49:K52" si="40">E49/E$44</f>
        <v>2.553191489361702E-2</v>
      </c>
      <c r="L49">
        <f t="shared" ref="L49:L52" si="41">F49/F$44</f>
        <v>0.26470588235294118</v>
      </c>
      <c r="M49">
        <f>SUM(I49:L49)</f>
        <v>0.91295356698086505</v>
      </c>
      <c r="N49" s="10">
        <f>M49/M53</f>
        <v>0.10962842160060411</v>
      </c>
      <c r="O49">
        <f>T49/SUM(T49:W49)</f>
        <v>0.1091814912551493</v>
      </c>
      <c r="P49" s="13" t="s">
        <v>34</v>
      </c>
      <c r="Q49">
        <f>MAX(S49:S52)</f>
        <v>4.1958161251903414</v>
      </c>
      <c r="S49" s="15">
        <v>4.1958161251903414</v>
      </c>
      <c r="T49">
        <v>-0.17835771890854502</v>
      </c>
      <c r="U49">
        <v>-0.87373332692190642</v>
      </c>
      <c r="V49">
        <v>-0.42436888421630353</v>
      </c>
      <c r="W49">
        <v>-0.1571293977609762</v>
      </c>
    </row>
    <row r="50" spans="1:23" x14ac:dyDescent="0.25">
      <c r="A50" s="1" t="s">
        <v>60</v>
      </c>
      <c r="B50" s="22" t="s">
        <v>51</v>
      </c>
      <c r="C50" s="8">
        <f>1/D49</f>
        <v>3.125</v>
      </c>
      <c r="D50">
        <v>1</v>
      </c>
      <c r="E50" s="8">
        <v>3.23</v>
      </c>
      <c r="F50" s="8">
        <v>5.5</v>
      </c>
      <c r="H50" s="22" t="s">
        <v>51</v>
      </c>
      <c r="I50">
        <f t="shared" ref="I50:I52" si="42">C50/C$44</f>
        <v>1.8933828877316499</v>
      </c>
      <c r="J50">
        <f t="shared" si="39"/>
        <v>5.2603892688058922E-2</v>
      </c>
      <c r="K50">
        <f t="shared" si="40"/>
        <v>0.34361702127659571</v>
      </c>
      <c r="L50">
        <f t="shared" si="41"/>
        <v>1.2132352941176472</v>
      </c>
      <c r="M50">
        <f t="shared" ref="M50:M52" si="43">SUM(I50:L50)</f>
        <v>3.5028390958139517</v>
      </c>
      <c r="N50" s="10">
        <f>M50/M53</f>
        <v>0.42062459152757703</v>
      </c>
      <c r="O50">
        <f>U49/SUM(T49:W49)</f>
        <v>0.53485494306849579</v>
      </c>
      <c r="P50" s="14" t="s">
        <v>35</v>
      </c>
      <c r="Q50">
        <f>(Q49-4)/3</f>
        <v>6.5272041730113806E-2</v>
      </c>
      <c r="S50" s="15">
        <v>-0.11655123182032023</v>
      </c>
      <c r="T50">
        <v>-9.9453832580142509E-2</v>
      </c>
      <c r="U50">
        <v>0.85029643688149603</v>
      </c>
      <c r="V50">
        <v>-0.28128623061124836</v>
      </c>
      <c r="W50">
        <v>4.9081494122693511E-2</v>
      </c>
    </row>
    <row r="51" spans="1:23" x14ac:dyDescent="0.25">
      <c r="A51" s="1" t="s">
        <v>61</v>
      </c>
      <c r="B51" s="22" t="s">
        <v>52</v>
      </c>
      <c r="C51" s="8">
        <f>1/E49</f>
        <v>4.166666666666667</v>
      </c>
      <c r="D51">
        <f>1/E50</f>
        <v>0.30959752321981426</v>
      </c>
      <c r="E51">
        <v>1</v>
      </c>
      <c r="F51" s="8">
        <v>2.1800000000000002</v>
      </c>
      <c r="H51" s="22" t="s">
        <v>52</v>
      </c>
      <c r="I51">
        <f t="shared" si="42"/>
        <v>2.5245105169755333</v>
      </c>
      <c r="J51">
        <f t="shared" si="39"/>
        <v>1.6286034887943938E-2</v>
      </c>
      <c r="K51">
        <f t="shared" si="40"/>
        <v>0.10638297872340426</v>
      </c>
      <c r="L51">
        <f t="shared" si="41"/>
        <v>0.48088235294117654</v>
      </c>
      <c r="M51">
        <f t="shared" si="43"/>
        <v>3.128061883528058</v>
      </c>
      <c r="N51" s="10">
        <f>M51/M53</f>
        <v>0.37562095090360847</v>
      </c>
      <c r="O51">
        <f>V49/SUM(T49:W49)</f>
        <v>0.2597769690291773</v>
      </c>
      <c r="P51" s="14" t="s">
        <v>33</v>
      </c>
      <c r="Q51" s="17">
        <f>Q50/R4</f>
        <v>7.3339372730464952E-2</v>
      </c>
      <c r="S51" s="15">
        <v>-0.11655123182032023</v>
      </c>
      <c r="T51">
        <v>-9.9453832580142509E-2</v>
      </c>
      <c r="U51">
        <v>0.85029643688149603</v>
      </c>
      <c r="V51">
        <v>-0.28128623061124836</v>
      </c>
      <c r="W51">
        <v>4.9081494122693511E-2</v>
      </c>
    </row>
    <row r="52" spans="1:23" x14ac:dyDescent="0.25">
      <c r="A52" s="1" t="s">
        <v>62</v>
      </c>
      <c r="B52" s="22" t="s">
        <v>53</v>
      </c>
      <c r="C52" s="8">
        <f>1/F49</f>
        <v>0.83333333333333337</v>
      </c>
      <c r="D52">
        <f>1/F50</f>
        <v>0.18181818181818182</v>
      </c>
      <c r="E52">
        <f>1/F51</f>
        <v>0.4587155963302752</v>
      </c>
      <c r="F52">
        <v>1</v>
      </c>
      <c r="H52" s="22" t="s">
        <v>53</v>
      </c>
      <c r="I52">
        <f t="shared" si="42"/>
        <v>0.50490210339510666</v>
      </c>
      <c r="J52">
        <f t="shared" si="39"/>
        <v>9.5643441251016224E-3</v>
      </c>
      <c r="K52">
        <f t="shared" si="40"/>
        <v>4.8799531524497362E-2</v>
      </c>
      <c r="L52">
        <f t="shared" si="41"/>
        <v>0.22058823529411764</v>
      </c>
      <c r="M52">
        <f t="shared" si="43"/>
        <v>0.7838542143388233</v>
      </c>
      <c r="N52" s="10">
        <f>M52/M53</f>
        <v>9.4126035968210328E-2</v>
      </c>
      <c r="O52">
        <f>W49/SUM(T49:W49)</f>
        <v>9.6186596647177589E-2</v>
      </c>
      <c r="S52" s="15">
        <v>3.7286338450299432E-2</v>
      </c>
      <c r="T52">
        <v>-4.8930727350088681E-2</v>
      </c>
      <c r="U52">
        <v>-0.91002178774009257</v>
      </c>
      <c r="V52">
        <v>-0.24488425990360843</v>
      </c>
      <c r="W52">
        <v>0.33090456178599137</v>
      </c>
    </row>
    <row r="53" spans="1:23" x14ac:dyDescent="0.25">
      <c r="C53" s="9">
        <f>SUM(C49:C52)</f>
        <v>9.1250000000000018</v>
      </c>
      <c r="D53" s="9">
        <f t="shared" ref="D53:F53" si="44">SUM(D49:D52)</f>
        <v>1.8114157050379962</v>
      </c>
      <c r="E53" s="9">
        <f t="shared" si="44"/>
        <v>4.9287155963302753</v>
      </c>
      <c r="F53" s="9">
        <f t="shared" si="44"/>
        <v>9.8800000000000008</v>
      </c>
      <c r="I53">
        <f>SUM(I49:I52)</f>
        <v>5.5286780321764173</v>
      </c>
      <c r="J53">
        <f t="shared" ref="J53:N53" si="45">SUM(J49:J52)</f>
        <v>9.5287517361283353E-2</v>
      </c>
      <c r="K53">
        <f t="shared" si="45"/>
        <v>0.52433144641811436</v>
      </c>
      <c r="L53">
        <f t="shared" si="45"/>
        <v>2.1794117647058826</v>
      </c>
      <c r="M53">
        <f t="shared" si="45"/>
        <v>8.3277087606616984</v>
      </c>
      <c r="N53">
        <f t="shared" si="45"/>
        <v>1</v>
      </c>
    </row>
  </sheetData>
  <mergeCells count="5">
    <mergeCell ref="T12:W12"/>
    <mergeCell ref="T21:W21"/>
    <mergeCell ref="T30:W30"/>
    <mergeCell ref="T39:W39"/>
    <mergeCell ref="T48:W48"/>
  </mergeCells>
  <phoneticPr fontId="1" type="noConversion"/>
  <conditionalFormatting sqref="Q15">
    <cfRule type="cellIs" dxfId="9" priority="9" operator="greaterThan">
      <formula>0.1</formula>
    </cfRule>
    <cfRule type="cellIs" dxfId="8" priority="10" operator="greaterThan">
      <formula>0.1</formula>
    </cfRule>
  </conditionalFormatting>
  <conditionalFormatting sqref="Q24">
    <cfRule type="cellIs" dxfId="7" priority="7" operator="greaterThan">
      <formula>0.1</formula>
    </cfRule>
    <cfRule type="cellIs" dxfId="6" priority="8" operator="greaterThan">
      <formula>0.1</formula>
    </cfRule>
  </conditionalFormatting>
  <conditionalFormatting sqref="Q33">
    <cfRule type="cellIs" dxfId="5" priority="5" operator="greaterThan">
      <formula>0.1</formula>
    </cfRule>
    <cfRule type="cellIs" dxfId="4" priority="6" operator="greaterThan">
      <formula>0.1</formula>
    </cfRule>
  </conditionalFormatting>
  <conditionalFormatting sqref="Q42">
    <cfRule type="cellIs" dxfId="3" priority="3" operator="greaterThan">
      <formula>0.1</formula>
    </cfRule>
    <cfRule type="cellIs" dxfId="2" priority="4" operator="greaterThan">
      <formula>0.1</formula>
    </cfRule>
  </conditionalFormatting>
  <conditionalFormatting sqref="Q51">
    <cfRule type="cellIs" dxfId="1" priority="1" operator="greaterThan">
      <formula>0.1</formula>
    </cfRule>
    <cfRule type="cellIs" dxfId="0" priority="2" operator="greaterThan">
      <formula>0.1</formula>
    </cfRule>
  </conditionalFormatting>
  <pageMargins left="0.7" right="0.7" top="0.75" bottom="0.75" header="0.3" footer="0.3"/>
  <pageSetup paperSize="9" orientation="portrait" horizontalDpi="96" verticalDpi="96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lPython">
                <anchor moveWithCells="1">
                  <from>
                    <xdr:col>14</xdr:col>
                    <xdr:colOff>15240</xdr:colOff>
                    <xdr:row>7</xdr:row>
                    <xdr:rowOff>114300</xdr:rowOff>
                  </from>
                  <to>
                    <xdr:col>16</xdr:col>
                    <xdr:colOff>464820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Shihan Yang</dc:creator>
  <cp:lastModifiedBy>ShiHan Yang</cp:lastModifiedBy>
  <dcterms:created xsi:type="dcterms:W3CDTF">2015-06-05T18:19:34Z</dcterms:created>
  <dcterms:modified xsi:type="dcterms:W3CDTF">2025-10-27T07:44:20Z</dcterms:modified>
</cp:coreProperties>
</file>